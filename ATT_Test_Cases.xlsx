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Cases'!$A$1:$O$49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<sst xmlns="http://schemas.openxmlformats.org/spreadsheetml/2006/main" count="460" uniqueCount="302">
  <si>
    <t xml:space="preserve">Test Case ID</t>
  </si>
  <si>
    <t xml:space="preserve">Phase</t>
  </si>
  <si>
    <t xml:space="preserve">User Story</t>
  </si>
  <si>
    <t xml:space="preserve">Requirement ID</t>
  </si>
  <si>
    <t xml:space="preserve">Title</t>
  </si>
  <si>
    <t xml:space="preserve">Priority</t>
  </si>
  <si>
    <t xml:space="preserve">Type</t>
  </si>
  <si>
    <t xml:space="preserve">Preconditions</t>
  </si>
  <si>
    <t xml:space="preserve">Steps</t>
  </si>
  <si>
    <t xml:space="preserve">Expected Result</t>
  </si>
  <si>
    <t xml:space="preserve">Status</t>
  </si>
  <si>
    <t xml:space="preserve">Actual Result</t>
  </si>
  <si>
    <t xml:space="preserve">Tester</t>
  </si>
  <si>
    <t xml:space="preserve">Defect ID</t>
  </si>
  <si>
    <t xml:space="preserve">Notes</t>
  </si>
  <si>
    <t xml:space="preserve">ATT-TC-001</t>
  </si>
  <si>
    <t xml:space="preserve">US-01</t>
  </si>
  <si>
    <t xml:space="preserve">ATT-FR-01</t>
  </si>
  <si>
    <t xml:space="preserve">Student login with valid credentials</t>
  </si>
  <si>
    <t xml:space="preserve">Must</t>
  </si>
  <si>
    <t xml:space="preserve">Functional</t>
  </si>
  <si>
    <t xml:space="preserve">Seeded student account exists</t>
  </si>
  <si>
    <t xml:space="preserve">1. Open app
2. Enter valid student email/password
3. Tap Login</t>
  </si>
  <si>
    <t xml:space="preserve">Login succeeds; student lands on student home screen</t>
  </si>
  <si>
    <t xml:space="preserve">ATT-TC-002</t>
  </si>
  <si>
    <t xml:space="preserve">Student login with invalid credentials</t>
  </si>
  <si>
    <t xml:space="preserve">Negative</t>
  </si>
  <si>
    <t xml:space="preserve">1. Enter wrong password
2. Tap Login</t>
  </si>
  <si>
    <t xml:space="preserve">Login rejected with clear error; no session token issued</t>
  </si>
  <si>
    <t xml:space="preserve">ATT-TC-003</t>
  </si>
  <si>
    <t xml:space="preserve">Student cannot access another student's data</t>
  </si>
  <si>
    <t xml:space="preserve">Security</t>
  </si>
  <si>
    <t xml:space="preserve">Two seeded student accounts (A, B)</t>
  </si>
  <si>
    <t xml:space="preserve">1. Log in as A
2. Attempt to fetch B's attendance history via API</t>
  </si>
  <si>
    <t xml:space="preserve">Request rejected (401/403); no data for B returned</t>
  </si>
  <si>
    <t xml:space="preserve">ATT-TC-004</t>
  </si>
  <si>
    <t xml:space="preserve">US-02</t>
  </si>
  <si>
    <t xml:space="preserve">Lecturer login and role recognition</t>
  </si>
  <si>
    <t xml:space="preserve">Seeded lecturer account exists</t>
  </si>
  <si>
    <t xml:space="preserve">1. Enter valid staff credentials
2. Tap Login</t>
  </si>
  <si>
    <t xml:space="preserve">Login succeeds; lecturer lands on lecturer home screen</t>
  </si>
  <si>
    <t xml:space="preserve">ATT-TC-005</t>
  </si>
  <si>
    <t xml:space="preserve">US-03</t>
  </si>
  <si>
    <t xml:space="preserve">Administrator login and role recognition</t>
  </si>
  <si>
    <t xml:space="preserve">Seeded admin account exists</t>
  </si>
  <si>
    <t xml:space="preserve">1. Enter valid admin credentials
2. Tap Login</t>
  </si>
  <si>
    <t xml:space="preserve">Login succeeds; admin lands on admin management screen</t>
  </si>
  <si>
    <t xml:space="preserve">ATT-TC-006</t>
  </si>
  <si>
    <t xml:space="preserve">US-04</t>
  </si>
  <si>
    <t xml:space="preserve">Auditor login is read-only</t>
  </si>
  <si>
    <t xml:space="preserve">Seeded auditor account exists</t>
  </si>
  <si>
    <t xml:space="preserve">1. Log in as auditor
2. Attempt any write action (e.g., PATCH attendance)</t>
  </si>
  <si>
    <t xml:space="preserve">Login succeeds and views load; every write attempt is rejected server-side (403)</t>
  </si>
  <si>
    <t xml:space="preserve">ATT-TC-007</t>
  </si>
  <si>
    <t xml:space="preserve">Student account cannot call lecturer/admin-only endpoints</t>
  </si>
  <si>
    <t xml:space="preserve">Seeded student token; known staff-only endpoint</t>
  </si>
  <si>
    <t xml:space="preserve">1. Call a lecturer/admin-only endpoint using the student's token</t>
  </si>
  <si>
    <t xml:space="preserve">Backend rejects the call (403) regardless of what the UI shows</t>
  </si>
  <si>
    <t xml:space="preserve">ATT-TC-008</t>
  </si>
  <si>
    <t xml:space="preserve">US-05</t>
  </si>
  <si>
    <t xml:space="preserve">ATT-FR-02</t>
  </si>
  <si>
    <t xml:space="preserve">Valid CSV import creates correct records</t>
  </si>
  <si>
    <t xml:space="preserve">Admin logged in; a well-formed CSV of students/sections</t>
  </si>
  <si>
    <t xml:space="preserve">1. Upload the valid CSV via import screen</t>
  </si>
  <si>
    <t xml:space="preserve">All rows create the correct student/section/enrollment records; import summary shows success count</t>
  </si>
  <si>
    <t xml:space="preserve">ATT-TC-009</t>
  </si>
  <si>
    <t xml:space="preserve">Invalid CSV rows are rejected with a report, no partial corruption</t>
  </si>
  <si>
    <t xml:space="preserve">Admin logged in; a CSV with some malformed rows (bad email, missing section, etc.)</t>
  </si>
  <si>
    <t xml:space="preserve">1. Upload the CSV</t>
  </si>
  <si>
    <t xml:space="preserve">Valid rows import; malformed rows are listed in a rejection report with the specific reason; no corrupt/partial records are created</t>
  </si>
  <si>
    <t xml:space="preserve">ATT-TC-010</t>
  </si>
  <si>
    <t xml:space="preserve">US-06</t>
  </si>
  <si>
    <t xml:space="preserve">Admin can create/edit rooms, labs, and timetable slots</t>
  </si>
  <si>
    <t xml:space="preserve">Admin logged in</t>
  </si>
  <si>
    <t xml:space="preserve">1. Create a new room
2. Create a timetable slot referencing it</t>
  </si>
  <si>
    <t xml:space="preserve">Room and slot are created and retrievable; both appear in section-setup dropdowns</t>
  </si>
  <si>
    <t xml:space="preserve">ATT-TC-011</t>
  </si>
  <si>
    <t xml:space="preserve">Session cannot reference a nonexistent room/time</t>
  </si>
  <si>
    <t xml:space="preserve">1. Attempt to create a timetable slot pointing to a room ID that doesn't exist</t>
  </si>
  <si>
    <t xml:space="preserve">Request is rejected with a validation error; no slot created</t>
  </si>
  <si>
    <t xml:space="preserve">ATT-TC-012</t>
  </si>
  <si>
    <t xml:space="preserve">US-07</t>
  </si>
  <si>
    <t xml:space="preserve">ATT-FR-03</t>
  </si>
  <si>
    <t xml:space="preserve">Lecturer opens a session for own scheduled class</t>
  </si>
  <si>
    <t xml:space="preserve">Lecturer logged in; has a scheduled section</t>
  </si>
  <si>
    <t xml:space="preserve">1. Tap 'Open Session' for assigned section</t>
  </si>
  <si>
    <t xml:space="preserve">Session created with course, section, room, opener, start time; status = open</t>
  </si>
  <si>
    <t xml:space="preserve">ATT-TC-013</t>
  </si>
  <si>
    <t xml:space="preserve">Lecturer cannot open a session not assigned to them</t>
  </si>
  <si>
    <t xml:space="preserve">A section exists not assigned to this lecturer</t>
  </si>
  <si>
    <t xml:space="preserve">1. Attempt to open a session for that section</t>
  </si>
  <si>
    <t xml:space="preserve">Request rejected; no session created</t>
  </si>
  <si>
    <t xml:space="preserve">ATT-TC-014</t>
  </si>
  <si>
    <t xml:space="preserve">Closing a session stops further scans</t>
  </si>
  <si>
    <t xml:space="preserve">Open session with an enrolled student</t>
  </si>
  <si>
    <t xml:space="preserve">1. Lecturer closes the session
2. Student attempts to scan last-shown QR</t>
  </si>
  <si>
    <t xml:space="preserve">Scan rejected 'session closed'; no attendance event created</t>
  </si>
  <si>
    <t xml:space="preserve">ATT-TC-015</t>
  </si>
  <si>
    <t xml:space="preserve">US-08</t>
  </si>
  <si>
    <t xml:space="preserve">ATT-FR-04</t>
  </si>
  <si>
    <t xml:space="preserve">QR token rotates within the configured interval</t>
  </si>
  <si>
    <t xml:space="preserve">Session open</t>
  </si>
  <si>
    <t xml:space="preserve">1. Note QR token
2. Wait past rotation interval
3. Note token again</t>
  </si>
  <si>
    <t xml:space="preserve">Token value changed; old token no longer active</t>
  </si>
  <si>
    <t xml:space="preserve">ATT-TC-016</t>
  </si>
  <si>
    <t xml:space="preserve">Expired QR token is rejected</t>
  </si>
  <si>
    <t xml:space="preserve">Session open; a token has expired</t>
  </si>
  <si>
    <t xml:space="preserve">1. Scan an expired token</t>
  </si>
  <si>
    <t xml:space="preserve">Rejected with 'expired token' reason; no event created</t>
  </si>
  <si>
    <t xml:space="preserve">ATT-TC-017</t>
  </si>
  <si>
    <t xml:space="preserve">Tampered/altered QR token is rejected</t>
  </si>
  <si>
    <t xml:space="preserve">Session open; a valid token captured</t>
  </si>
  <si>
    <t xml:space="preserve">1. Modify part of the token's signature/payload
2. Submit it as a scan</t>
  </si>
  <si>
    <t xml:space="preserve">Rejected as invalid signature; no event created</t>
  </si>
  <si>
    <t xml:space="preserve">ATT-TC-018</t>
  </si>
  <si>
    <t xml:space="preserve">Only one token is active per session</t>
  </si>
  <si>
    <t xml:space="preserve">1. Capture token twice in quick succession, before rotation</t>
  </si>
  <si>
    <t xml:space="preserve">Both captures match; no second concurrent valid token exists</t>
  </si>
  <si>
    <t xml:space="preserve">ATT-TC-019</t>
  </si>
  <si>
    <t xml:space="preserve">US-09</t>
  </si>
  <si>
    <t xml:space="preserve">ATT-FR-05</t>
  </si>
  <si>
    <t xml:space="preserve">Enrolled student scans successfully</t>
  </si>
  <si>
    <t xml:space="preserve">Session open; student enrolled</t>
  </si>
  <si>
    <t xml:space="preserve">1. Student scans current valid QR</t>
  </si>
  <si>
    <t xml:space="preserve">Attendance event created with correct timestamp/status; 'accepted' feedback shown</t>
  </si>
  <si>
    <t xml:space="preserve">ATT-TC-020</t>
  </si>
  <si>
    <t xml:space="preserve">US-10</t>
  </si>
  <si>
    <t xml:space="preserve">Duplicate scan by same student is idempotent (DB constraint)</t>
  </si>
  <si>
    <t xml:space="preserve">Student already scanned successfully</t>
  </si>
  <si>
    <t xml:space="preserve">1. Same student scans again with a new valid token, same session</t>
  </si>
  <si>
    <t xml:space="preserve">No second row created; DB unique constraint (session_id, student_id) prevents duplicate even under concurrent requests; response indicates 'already recorded'</t>
  </si>
  <si>
    <t xml:space="preserve">ATT-TC-021</t>
  </si>
  <si>
    <t xml:space="preserve">Scan from non-enrolled account is rejected</t>
  </si>
  <si>
    <t xml:space="preserve">An account not enrolled in this section</t>
  </si>
  <si>
    <t xml:space="preserve">1. Non-enrolled account scans the valid QR</t>
  </si>
  <si>
    <t xml:space="preserve">Rejected 'not enrolled'; no event created</t>
  </si>
  <si>
    <t xml:space="preserve">ATT-TC-022</t>
  </si>
  <si>
    <t xml:space="preserve">US-11</t>
  </si>
  <si>
    <t xml:space="preserve">ATT-FR-07</t>
  </si>
  <si>
    <t xml:space="preserve">Live roster updates after a successful scan</t>
  </si>
  <si>
    <t xml:space="preserve">Session open; lecturer viewing roster</t>
  </si>
  <si>
    <t xml:space="preserve">1. Student scans successfully
2. Observe roster without manual refresh</t>
  </si>
  <si>
    <t xml:space="preserve">Roster reflects new check-in within a few seconds</t>
  </si>
  <si>
    <t xml:space="preserve">ATT-TC-023</t>
  </si>
  <si>
    <t xml:space="preserve">Manual correction requires a reason</t>
  </si>
  <si>
    <t xml:space="preserve">Session open; roster visible</t>
  </si>
  <si>
    <t xml:space="preserve">1. Change a student's status without a reason
2. Attempt to save</t>
  </si>
  <si>
    <t xml:space="preserve">Save is blocked until a reason is entered</t>
  </si>
  <si>
    <t xml:space="preserve">ATT-TC-024</t>
  </si>
  <si>
    <t xml:space="preserve">Manual correction writes an audit record</t>
  </si>
  <si>
    <t xml:space="preserve">1. Change status with a valid reason
2. Save
3. Inspect audit log</t>
  </si>
  <si>
    <t xml:space="preserve">Audit record has actor, timestamp, before value, after value, reason</t>
  </si>
  <si>
    <t xml:space="preserve">ATT-TC-025</t>
  </si>
  <si>
    <t xml:space="preserve">US-12</t>
  </si>
  <si>
    <t xml:space="preserve">ATT-FR-08</t>
  </si>
  <si>
    <t xml:space="preserve">Student submits a correction request with evidence</t>
  </si>
  <si>
    <t xml:space="preserve">Student has a disputed attendance record</t>
  </si>
  <si>
    <t xml:space="preserve">1. Open the record
2. Submit a correction request with an attached file</t>
  </si>
  <si>
    <t xml:space="preserve">Request created in 'pending' state with evidence stored; visible to the lecturer</t>
  </si>
  <si>
    <t xml:space="preserve">ATT-TC-026</t>
  </si>
  <si>
    <t xml:space="preserve">Correction request rejects unsupported/oversized evidence files</t>
  </si>
  <si>
    <t xml:space="preserve">Should</t>
  </si>
  <si>
    <t xml:space="preserve">Student submitting a correction request</t>
  </si>
  <si>
    <t xml:space="preserve">1. Attach a disallowed file type or oversized file</t>
  </si>
  <si>
    <t xml:space="preserve">Upload is rejected client- and server-side with a clear message</t>
  </si>
  <si>
    <t xml:space="preserve">ATT-TC-027</t>
  </si>
  <si>
    <t xml:space="preserve">US-13</t>
  </si>
  <si>
    <t xml:space="preserve">Lecturer approves a correction request</t>
  </si>
  <si>
    <t xml:space="preserve">A pending correction request exists</t>
  </si>
  <si>
    <t xml:space="preserve">1. Lecturer opens the request
2. Approves it with a reason</t>
  </si>
  <si>
    <t xml:space="preserve">Request moves to 'approved'; underlying attendance record updates; student sees new status; audit log records reviewer and reason</t>
  </si>
  <si>
    <t xml:space="preserve">ATT-TC-028</t>
  </si>
  <si>
    <t xml:space="preserve">Lecturer rejects a correction request</t>
  </si>
  <si>
    <t xml:space="preserve">1. Lecturer rejects it with a reason</t>
  </si>
  <si>
    <t xml:space="preserve">Request moves to 'rejected'; original attendance record unchanged; student sees rejection reason</t>
  </si>
  <si>
    <t xml:space="preserve">ATT-TC-029</t>
  </si>
  <si>
    <t xml:space="preserve">US-14</t>
  </si>
  <si>
    <t xml:space="preserve">ATT-FR-09</t>
  </si>
  <si>
    <t xml:space="preserve">Filter attendance by course/section/date range</t>
  </si>
  <si>
    <t xml:space="preserve">Seed data with known events across multiple sections/dates</t>
  </si>
  <si>
    <t xml:space="preserve">1. Apply filters for one section and a date range</t>
  </si>
  <si>
    <t xml:space="preserve">Only matching records shown; count matches manual expectation</t>
  </si>
  <si>
    <t xml:space="preserve">ATT-TC-030</t>
  </si>
  <si>
    <t xml:space="preserve">CSV export matches the filtered view</t>
  </si>
  <si>
    <t xml:space="preserve">A filtered attendance view is on screen</t>
  </si>
  <si>
    <t xml:space="preserve">1. Export as CSV
2. Compare exported rows/totals to the screen</t>
  </si>
  <si>
    <t xml:space="preserve">Exported CSV totals exactly match the visible filtered data</t>
  </si>
  <si>
    <t xml:space="preserve">ATT-TC-031</t>
  </si>
  <si>
    <t xml:space="preserve">PDF export matches the filtered view</t>
  </si>
  <si>
    <t xml:space="preserve">1. Export as PDF
2. Compare PDF totals to the screen</t>
  </si>
  <si>
    <t xml:space="preserve">Exported PDF totals exactly match the visible filtered data</t>
  </si>
  <si>
    <t xml:space="preserve">ATT-TC-032</t>
  </si>
  <si>
    <t xml:space="preserve">US-15</t>
  </si>
  <si>
    <t xml:space="preserve">ATT-FR-10</t>
  </si>
  <si>
    <t xml:space="preserve">Dashboard attendance rate reconciles with raw events</t>
  </si>
  <si>
    <t xml:space="preserve">Seed data with known expected counts for a section</t>
  </si>
  <si>
    <t xml:space="preserve">1. Open dashboard for that section
2. Manually count raw events</t>
  </si>
  <si>
    <t xml:space="preserve">Displayed attendance rate/counts exactly match the manual count</t>
  </si>
  <si>
    <t xml:space="preserve">ATT-TC-033</t>
  </si>
  <si>
    <t xml:space="preserve">Low-attendance warning appears for a student below threshold</t>
  </si>
  <si>
    <t xml:space="preserve">A seeded student with attendance below configured threshold</t>
  </si>
  <si>
    <t xml:space="preserve">1. Open dashboard/warnings view</t>
  </si>
  <si>
    <t xml:space="preserve">That student appears with a low-attendance warning</t>
  </si>
  <si>
    <t xml:space="preserve">ATT-TC-034</t>
  </si>
  <si>
    <t xml:space="preserve">US-16</t>
  </si>
  <si>
    <t xml:space="preserve">ATT-FR-06</t>
  </si>
  <si>
    <t xml:space="preserve">Scan within configured time window/geofence is accepted</t>
  </si>
  <si>
    <t xml:space="preserve">Session open with time window/geofence configured; student physically/simulated within range</t>
  </si>
  <si>
    <t xml:space="preserve">1. Student scans within the window and geofence</t>
  </si>
  <si>
    <t xml:space="preserve">Scan accepted normally</t>
  </si>
  <si>
    <t xml:space="preserve">ATT-TC-035</t>
  </si>
  <si>
    <t xml:space="preserve">Scan outside time window is flagged</t>
  </si>
  <si>
    <t xml:space="preserve">Session open with a time window configured</t>
  </si>
  <si>
    <t xml:space="preserve">1. Student scans just outside the allowed window</t>
  </si>
  <si>
    <t xml:space="preserve">Scan is flagged with a specific reason (not silently accepted or silently dropped)</t>
  </si>
  <si>
    <t xml:space="preserve">ATT-TC-036</t>
  </si>
  <si>
    <t xml:space="preserve">Scan outside geofence is flagged, no location history stored</t>
  </si>
  <si>
    <t xml:space="preserve">Session open with a geofence configured</t>
  </si>
  <si>
    <t xml:space="preserve">1. Student scans from a simulated location outside the geofence
2. Inspect stored data</t>
  </si>
  <si>
    <t xml:space="preserve">Scan flagged with reason; only a coarse pass/fail result is stored, no continuous location trail exists in the DB</t>
  </si>
  <si>
    <t xml:space="preserve">ATT-TC-037</t>
  </si>
  <si>
    <t xml:space="preserve">US-17</t>
  </si>
  <si>
    <t xml:space="preserve">Repeated failed scans trigger a rule-based flag</t>
  </si>
  <si>
    <t xml:space="preserve">Seed data: 3+ failed/expired scan attempts for one student/session</t>
  </si>
  <si>
    <t xml:space="preserve">1. Run rule-engine check</t>
  </si>
  <si>
    <t xml:space="preserve">Flag raised referencing 'repeated failed scans' rule and the specific student/session</t>
  </si>
  <si>
    <t xml:space="preserve">ATT-TC-038</t>
  </si>
  <si>
    <t xml:space="preserve">Impossible-timing duplicate pattern triggers a flag</t>
  </si>
  <si>
    <t xml:space="preserve">Seed data with two scans for the same student at implausibly close timestamps in different sessions</t>
  </si>
  <si>
    <t xml:space="preserve">Flag raised referencing the timing-anomaly rule</t>
  </si>
  <si>
    <t xml:space="preserve">ATT-TC-039</t>
  </si>
  <si>
    <t xml:space="preserve">Abnormal correction volume triggers a flag</t>
  </si>
  <si>
    <t xml:space="preserve">Seed data: one lecturer/section with an unusually high correction count</t>
  </si>
  <si>
    <t xml:space="preserve">Flag raised referencing 'abnormal correction volume'</t>
  </si>
  <si>
    <t xml:space="preserve">ATT-TC-040</t>
  </si>
  <si>
    <t xml:space="preserve">US-18</t>
  </si>
  <si>
    <t xml:space="preserve">AI risk model reports precision/recall against documented split</t>
  </si>
  <si>
    <t xml:space="preserve">Synthetic historical dataset with a documented train/test split</t>
  </si>
  <si>
    <t xml:space="preserve">1. Run model evaluation script</t>
  </si>
  <si>
    <t xml:space="preserve">Report includes precision, recall, and calibration figures tied to the documented split</t>
  </si>
  <si>
    <t xml:space="preserve">ATT-TC-041</t>
  </si>
  <si>
    <t xml:space="preserve">AI risk model is compared against the deterministic baseline</t>
  </si>
  <si>
    <t xml:space="preserve">Same dataset used for both baseline and model</t>
  </si>
  <si>
    <t xml:space="preserve">1. Run baseline rule and model on the same test set
2. Compare results</t>
  </si>
  <si>
    <t xml:space="preserve">Comparison is reported explicitly; if the model does not beat the baseline, this is stated plainly, not hidden</t>
  </si>
  <si>
    <t xml:space="preserve">ATT-TC-042</t>
  </si>
  <si>
    <t xml:space="preserve">Risk prediction never auto-changes attendance</t>
  </si>
  <si>
    <t xml:space="preserve">A student flagged as high-risk by the model</t>
  </si>
  <si>
    <t xml:space="preserve">1. Inspect that student's attendance records after the prediction runs</t>
  </si>
  <si>
    <t xml:space="preserve">No attendance record is altered automatically; prediction is advisory/display-only</t>
  </si>
  <si>
    <t xml:space="preserve">ATT-TC-043</t>
  </si>
  <si>
    <t xml:space="preserve">Attendance capture continues if the model/rule service is down</t>
  </si>
  <si>
    <t xml:space="preserve">Reliability</t>
  </si>
  <si>
    <t xml:space="preserve">Session open; AI module disabled/unreachable</t>
  </si>
  <si>
    <t xml:space="preserve">1. Student scans successfully while the module is down</t>
  </si>
  <si>
    <t xml:space="preserve">Scan is accepted and recorded normally; only flagging/prediction is unavailable (non-blocking fallback)</t>
  </si>
  <si>
    <t xml:space="preserve">ATT-TC-044</t>
  </si>
  <si>
    <t xml:space="preserve">US-19</t>
  </si>
  <si>
    <t xml:space="preserve">ATT-FR-01/07</t>
  </si>
  <si>
    <t xml:space="preserve">Auditor can view full immutable history including all corrections</t>
  </si>
  <si>
    <t xml:space="preserve">A session with at least one correction on its history</t>
  </si>
  <si>
    <t xml:space="preserve">1. Log in as auditor
2. Open that session's history</t>
  </si>
  <si>
    <t xml:space="preserve">Every original event and every correction (with before/after) is visible and none are editable</t>
  </si>
  <si>
    <t xml:space="preserve">ATT-TC-045</t>
  </si>
  <si>
    <t xml:space="preserve">Auditor write attempts are rejected on every endpoint</t>
  </si>
  <si>
    <t xml:space="preserve">Auditor logged in</t>
  </si>
  <si>
    <t xml:space="preserve">1. Attempt PATCH/POST calls against session, attendance, and correction endpoints</t>
  </si>
  <si>
    <t xml:space="preserve">All write attempts return 403; no data is modified</t>
  </si>
  <si>
    <t xml:space="preserve">ATT-TC-046</t>
  </si>
  <si>
    <t xml:space="preserve">US-20</t>
  </si>
  <si>
    <t xml:space="preserve">Stretch</t>
  </si>
  <si>
    <t xml:space="preserve">Scan while offline queues locally and syncs without duplicating</t>
  </si>
  <si>
    <t xml:space="preserve">Could</t>
  </si>
  <si>
    <t xml:space="preserve">Device in airplane mode; session open</t>
  </si>
  <si>
    <t xml:space="preserve">1. Student scans while offline
2. Restore connectivity
3. Observe sync</t>
  </si>
  <si>
    <t xml:space="preserve">Scan is queued locally, then synced once online; exactly one attendance event exists after sync, not zero or two</t>
  </si>
  <si>
    <t xml:space="preserve">ATT-TC-047</t>
  </si>
  <si>
    <t xml:space="preserve">US-21</t>
  </si>
  <si>
    <t xml:space="preserve">Push notification is sent when a session opens</t>
  </si>
  <si>
    <t xml:space="preserve">Student enrolled in a section; notifications enabled</t>
  </si>
  <si>
    <t xml:space="preserve">1. Lecturer opens a session for that section</t>
  </si>
  <si>
    <t xml:space="preserve">Enrolled students receive a push notification within a reasonable delay</t>
  </si>
  <si>
    <t xml:space="preserve">ATT-TC-048</t>
  </si>
  <si>
    <t xml:space="preserve">US-22</t>
  </si>
  <si>
    <t xml:space="preserve">Face-verification pilot is strictly opt-in with revocable consent</t>
  </si>
  <si>
    <t xml:space="preserve">Security/Compliance</t>
  </si>
  <si>
    <t xml:space="preserve">Student account not yet enrolled in the pilot</t>
  </si>
  <si>
    <t xml:space="preserve">1. Attempt to view/enable the pilot
2. Enable it, then revoke consent</t>
  </si>
  <si>
    <t xml:space="preserve">Enrollment requires explicit consent; a non-biometric fallback remains available at all times; revoking consent removes/disables stored biometric templates</t>
  </si>
  <si>
    <t xml:space="preserve">ATT Test Case Summary — Full Scope</t>
  </si>
  <si>
    <t xml:space="preserve">Total Test Cases</t>
  </si>
  <si>
    <t xml:space="preserve">Phase 1 cases</t>
  </si>
  <si>
    <t xml:space="preserve">Phase 2 cases</t>
  </si>
  <si>
    <t xml:space="preserve">Phase 3 cases</t>
  </si>
  <si>
    <t xml:space="preserve">Phase 4 cases</t>
  </si>
  <si>
    <t xml:space="preserve">Must Priority</t>
  </si>
  <si>
    <t xml:space="preserve">Should Priority</t>
  </si>
  <si>
    <t xml:space="preserve">Could Priority</t>
  </si>
  <si>
    <t xml:space="preserve">Status: Pass</t>
  </si>
  <si>
    <t xml:space="preserve">Status: Fail</t>
  </si>
  <si>
    <t xml:space="preserve">Status: Not Run</t>
  </si>
  <si>
    <t xml:space="preserve">Note: set Status column (K) in 'Test Cases' to Pass / Fail / Not Run / Blocked. Filter by Phase (column B) to run one phase's suite at a time.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</si>
</sst>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F2E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E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10" min="9" style="0" width="42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4" min="13" style="0" width="10"/>
    <col collapsed="false" customWidth="true" hidden="false" outlineLevel="0" max="15" min="15" style="0" width="2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s">
        <v>15</v>
      </c>
      <c r="B2" s="2" t="n">
        <v>1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/>
      <c r="L2" s="2"/>
      <c r="M2" s="2"/>
      <c r="N2" s="2"/>
      <c r="O2" s="2"/>
    </row>
    <row r="3" customFormat="false" ht="23.85" hidden="false" customHeight="false" outlineLevel="0" collapsed="false">
      <c r="A3" s="2" t="s">
        <v>24</v>
      </c>
      <c r="B3" s="2" t="n">
        <v>1</v>
      </c>
      <c r="C3" s="2" t="s">
        <v>16</v>
      </c>
      <c r="D3" s="2" t="s">
        <v>17</v>
      </c>
      <c r="E3" s="2" t="s">
        <v>25</v>
      </c>
      <c r="F3" s="2" t="s">
        <v>19</v>
      </c>
      <c r="G3" s="2" t="s">
        <v>26</v>
      </c>
      <c r="H3" s="2" t="s">
        <v>21</v>
      </c>
      <c r="I3" s="2" t="s">
        <v>27</v>
      </c>
      <c r="J3" s="2" t="s">
        <v>28</v>
      </c>
      <c r="K3" s="2"/>
      <c r="L3" s="2"/>
      <c r="M3" s="2"/>
      <c r="N3" s="2"/>
      <c r="O3" s="2"/>
    </row>
    <row r="4" customFormat="false" ht="23.85" hidden="false" customHeight="false" outlineLevel="0" collapsed="false">
      <c r="A4" s="2" t="s">
        <v>29</v>
      </c>
      <c r="B4" s="2" t="n">
        <v>1</v>
      </c>
      <c r="C4" s="2" t="s">
        <v>16</v>
      </c>
      <c r="D4" s="2" t="s">
        <v>17</v>
      </c>
      <c r="E4" s="2" t="s">
        <v>30</v>
      </c>
      <c r="F4" s="2" t="s">
        <v>19</v>
      </c>
      <c r="G4" s="2" t="s">
        <v>31</v>
      </c>
      <c r="H4" s="2" t="s">
        <v>32</v>
      </c>
      <c r="I4" s="2" t="s">
        <v>33</v>
      </c>
      <c r="J4" s="2" t="s">
        <v>34</v>
      </c>
      <c r="K4" s="2"/>
      <c r="L4" s="2"/>
      <c r="M4" s="2"/>
      <c r="N4" s="2"/>
      <c r="O4" s="2"/>
    </row>
    <row r="5" customFormat="false" ht="23.85" hidden="false" customHeight="false" outlineLevel="0" collapsed="false">
      <c r="A5" s="2" t="s">
        <v>35</v>
      </c>
      <c r="B5" s="2" t="n">
        <v>1</v>
      </c>
      <c r="C5" s="2" t="s">
        <v>36</v>
      </c>
      <c r="D5" s="2" t="s">
        <v>17</v>
      </c>
      <c r="E5" s="2" t="s">
        <v>37</v>
      </c>
      <c r="F5" s="2" t="s">
        <v>19</v>
      </c>
      <c r="G5" s="2" t="s">
        <v>20</v>
      </c>
      <c r="H5" s="2" t="s">
        <v>38</v>
      </c>
      <c r="I5" s="2" t="s">
        <v>39</v>
      </c>
      <c r="J5" s="2" t="s">
        <v>40</v>
      </c>
      <c r="K5" s="2"/>
      <c r="L5" s="2"/>
      <c r="M5" s="2"/>
      <c r="N5" s="2"/>
      <c r="O5" s="2"/>
    </row>
    <row r="6" customFormat="false" ht="23.85" hidden="false" customHeight="false" outlineLevel="0" collapsed="false">
      <c r="A6" s="2" t="s">
        <v>41</v>
      </c>
      <c r="B6" s="2" t="n">
        <v>1</v>
      </c>
      <c r="C6" s="2" t="s">
        <v>42</v>
      </c>
      <c r="D6" s="2" t="s">
        <v>17</v>
      </c>
      <c r="E6" s="2" t="s">
        <v>43</v>
      </c>
      <c r="F6" s="2" t="s">
        <v>19</v>
      </c>
      <c r="G6" s="2" t="s">
        <v>20</v>
      </c>
      <c r="H6" s="2" t="s">
        <v>44</v>
      </c>
      <c r="I6" s="2" t="s">
        <v>45</v>
      </c>
      <c r="J6" s="2" t="s">
        <v>46</v>
      </c>
      <c r="K6" s="2"/>
      <c r="L6" s="2"/>
      <c r="M6" s="2"/>
      <c r="N6" s="2"/>
      <c r="O6" s="2"/>
    </row>
    <row r="7" customFormat="false" ht="35.05" hidden="false" customHeight="false" outlineLevel="0" collapsed="false">
      <c r="A7" s="2" t="s">
        <v>47</v>
      </c>
      <c r="B7" s="2" t="n">
        <v>1</v>
      </c>
      <c r="C7" s="2" t="s">
        <v>48</v>
      </c>
      <c r="D7" s="2" t="s">
        <v>17</v>
      </c>
      <c r="E7" s="2" t="s">
        <v>49</v>
      </c>
      <c r="F7" s="2" t="s">
        <v>19</v>
      </c>
      <c r="G7" s="2" t="s">
        <v>31</v>
      </c>
      <c r="H7" s="2" t="s">
        <v>50</v>
      </c>
      <c r="I7" s="2" t="s">
        <v>51</v>
      </c>
      <c r="J7" s="2" t="s">
        <v>52</v>
      </c>
      <c r="K7" s="2"/>
      <c r="L7" s="2"/>
      <c r="M7" s="2"/>
      <c r="N7" s="2"/>
      <c r="O7" s="2"/>
    </row>
    <row r="8" customFormat="false" ht="23.85" hidden="false" customHeight="false" outlineLevel="0" collapsed="false">
      <c r="A8" s="2" t="s">
        <v>53</v>
      </c>
      <c r="B8" s="2" t="n">
        <v>1</v>
      </c>
      <c r="C8" s="2" t="s">
        <v>36</v>
      </c>
      <c r="D8" s="2" t="s">
        <v>17</v>
      </c>
      <c r="E8" s="2" t="s">
        <v>54</v>
      </c>
      <c r="F8" s="2" t="s">
        <v>19</v>
      </c>
      <c r="G8" s="2" t="s">
        <v>31</v>
      </c>
      <c r="H8" s="2" t="s">
        <v>55</v>
      </c>
      <c r="I8" s="2" t="s">
        <v>56</v>
      </c>
      <c r="J8" s="2" t="s">
        <v>57</v>
      </c>
      <c r="K8" s="2"/>
      <c r="L8" s="2"/>
      <c r="M8" s="2"/>
      <c r="N8" s="2"/>
      <c r="O8" s="2"/>
    </row>
    <row r="9" customFormat="false" ht="35.05" hidden="false" customHeight="false" outlineLevel="0" collapsed="false">
      <c r="A9" s="2" t="s">
        <v>58</v>
      </c>
      <c r="B9" s="2" t="n">
        <v>1</v>
      </c>
      <c r="C9" s="2" t="s">
        <v>59</v>
      </c>
      <c r="D9" s="2" t="s">
        <v>60</v>
      </c>
      <c r="E9" s="2" t="s">
        <v>61</v>
      </c>
      <c r="F9" s="2" t="s">
        <v>19</v>
      </c>
      <c r="G9" s="2" t="s">
        <v>20</v>
      </c>
      <c r="H9" s="2" t="s">
        <v>62</v>
      </c>
      <c r="I9" s="2" t="s">
        <v>63</v>
      </c>
      <c r="J9" s="2" t="s">
        <v>64</v>
      </c>
      <c r="K9" s="2"/>
      <c r="L9" s="2"/>
      <c r="M9" s="2"/>
      <c r="N9" s="2"/>
      <c r="O9" s="2"/>
    </row>
    <row r="10" customFormat="false" ht="35.05" hidden="false" customHeight="false" outlineLevel="0" collapsed="false">
      <c r="A10" s="2" t="s">
        <v>65</v>
      </c>
      <c r="B10" s="2" t="n">
        <v>1</v>
      </c>
      <c r="C10" s="2" t="s">
        <v>59</v>
      </c>
      <c r="D10" s="2" t="s">
        <v>60</v>
      </c>
      <c r="E10" s="2" t="s">
        <v>66</v>
      </c>
      <c r="F10" s="2" t="s">
        <v>19</v>
      </c>
      <c r="G10" s="2" t="s">
        <v>26</v>
      </c>
      <c r="H10" s="2" t="s">
        <v>67</v>
      </c>
      <c r="I10" s="2" t="s">
        <v>68</v>
      </c>
      <c r="J10" s="2" t="s">
        <v>69</v>
      </c>
      <c r="K10" s="2"/>
      <c r="L10" s="2"/>
      <c r="M10" s="2"/>
      <c r="N10" s="2"/>
      <c r="O10" s="2"/>
    </row>
    <row r="11" customFormat="false" ht="23.85" hidden="false" customHeight="false" outlineLevel="0" collapsed="false">
      <c r="A11" s="2" t="s">
        <v>70</v>
      </c>
      <c r="B11" s="2" t="n">
        <v>1</v>
      </c>
      <c r="C11" s="2" t="s">
        <v>71</v>
      </c>
      <c r="D11" s="2" t="s">
        <v>60</v>
      </c>
      <c r="E11" s="2" t="s">
        <v>72</v>
      </c>
      <c r="F11" s="2" t="s">
        <v>19</v>
      </c>
      <c r="G11" s="2" t="s">
        <v>20</v>
      </c>
      <c r="H11" s="2" t="s">
        <v>73</v>
      </c>
      <c r="I11" s="2" t="s">
        <v>74</v>
      </c>
      <c r="J11" s="2" t="s">
        <v>75</v>
      </c>
      <c r="K11" s="2"/>
      <c r="L11" s="2"/>
      <c r="M11" s="2"/>
      <c r="N11" s="2"/>
      <c r="O11" s="2"/>
    </row>
    <row r="12" customFormat="false" ht="23.85" hidden="false" customHeight="false" outlineLevel="0" collapsed="false">
      <c r="A12" s="2" t="s">
        <v>76</v>
      </c>
      <c r="B12" s="2" t="n">
        <v>1</v>
      </c>
      <c r="C12" s="2" t="s">
        <v>71</v>
      </c>
      <c r="D12" s="2" t="s">
        <v>60</v>
      </c>
      <c r="E12" s="2" t="s">
        <v>77</v>
      </c>
      <c r="F12" s="2" t="s">
        <v>19</v>
      </c>
      <c r="G12" s="2" t="s">
        <v>26</v>
      </c>
      <c r="H12" s="2" t="s">
        <v>73</v>
      </c>
      <c r="I12" s="2" t="s">
        <v>78</v>
      </c>
      <c r="J12" s="2" t="s">
        <v>79</v>
      </c>
      <c r="K12" s="2"/>
      <c r="L12" s="2"/>
      <c r="M12" s="2"/>
      <c r="N12" s="2"/>
      <c r="O12" s="2"/>
    </row>
    <row r="13" customFormat="false" ht="23.85" hidden="false" customHeight="false" outlineLevel="0" collapsed="false">
      <c r="A13" s="2" t="s">
        <v>80</v>
      </c>
      <c r="B13" s="2" t="n">
        <v>1</v>
      </c>
      <c r="C13" s="2" t="s">
        <v>81</v>
      </c>
      <c r="D13" s="2" t="s">
        <v>82</v>
      </c>
      <c r="E13" s="2" t="s">
        <v>83</v>
      </c>
      <c r="F13" s="2" t="s">
        <v>19</v>
      </c>
      <c r="G13" s="2" t="s">
        <v>20</v>
      </c>
      <c r="H13" s="2" t="s">
        <v>84</v>
      </c>
      <c r="I13" s="2" t="s">
        <v>85</v>
      </c>
      <c r="J13" s="2" t="s">
        <v>86</v>
      </c>
      <c r="K13" s="2"/>
      <c r="L13" s="2"/>
      <c r="M13" s="2"/>
      <c r="N13" s="2"/>
      <c r="O13" s="2"/>
    </row>
    <row r="14" customFormat="false" ht="23.85" hidden="false" customHeight="false" outlineLevel="0" collapsed="false">
      <c r="A14" s="2" t="s">
        <v>87</v>
      </c>
      <c r="B14" s="2" t="n">
        <v>1</v>
      </c>
      <c r="C14" s="2" t="s">
        <v>81</v>
      </c>
      <c r="D14" s="2" t="s">
        <v>82</v>
      </c>
      <c r="E14" s="2" t="s">
        <v>88</v>
      </c>
      <c r="F14" s="2" t="s">
        <v>19</v>
      </c>
      <c r="G14" s="2" t="s">
        <v>26</v>
      </c>
      <c r="H14" s="2" t="s">
        <v>89</v>
      </c>
      <c r="I14" s="2" t="s">
        <v>90</v>
      </c>
      <c r="J14" s="2" t="s">
        <v>91</v>
      </c>
      <c r="K14" s="2"/>
      <c r="L14" s="2"/>
      <c r="M14" s="2"/>
      <c r="N14" s="2"/>
      <c r="O14" s="2"/>
    </row>
    <row r="15" customFormat="false" ht="23.85" hidden="false" customHeight="false" outlineLevel="0" collapsed="false">
      <c r="A15" s="2" t="s">
        <v>92</v>
      </c>
      <c r="B15" s="2" t="n">
        <v>1</v>
      </c>
      <c r="C15" s="2" t="s">
        <v>81</v>
      </c>
      <c r="D15" s="2" t="s">
        <v>82</v>
      </c>
      <c r="E15" s="2" t="s">
        <v>93</v>
      </c>
      <c r="F15" s="2" t="s">
        <v>19</v>
      </c>
      <c r="G15" s="2" t="s">
        <v>20</v>
      </c>
      <c r="H15" s="2" t="s">
        <v>94</v>
      </c>
      <c r="I15" s="2" t="s">
        <v>95</v>
      </c>
      <c r="J15" s="2" t="s">
        <v>96</v>
      </c>
      <c r="K15" s="2"/>
      <c r="L15" s="2"/>
      <c r="M15" s="2"/>
      <c r="N15" s="2"/>
      <c r="O15" s="2"/>
    </row>
    <row r="16" customFormat="false" ht="35.05" hidden="false" customHeight="false" outlineLevel="0" collapsed="false">
      <c r="A16" s="2" t="s">
        <v>97</v>
      </c>
      <c r="B16" s="2" t="n">
        <v>1</v>
      </c>
      <c r="C16" s="2" t="s">
        <v>98</v>
      </c>
      <c r="D16" s="2" t="s">
        <v>99</v>
      </c>
      <c r="E16" s="2" t="s">
        <v>100</v>
      </c>
      <c r="F16" s="2" t="s">
        <v>19</v>
      </c>
      <c r="G16" s="2" t="s">
        <v>20</v>
      </c>
      <c r="H16" s="2" t="s">
        <v>101</v>
      </c>
      <c r="I16" s="2" t="s">
        <v>102</v>
      </c>
      <c r="J16" s="2" t="s">
        <v>103</v>
      </c>
      <c r="K16" s="2"/>
      <c r="L16" s="2"/>
      <c r="M16" s="2"/>
      <c r="N16" s="2"/>
      <c r="O16" s="2"/>
    </row>
    <row r="17" customFormat="false" ht="23.85" hidden="false" customHeight="false" outlineLevel="0" collapsed="false">
      <c r="A17" s="2" t="s">
        <v>104</v>
      </c>
      <c r="B17" s="2" t="n">
        <v>1</v>
      </c>
      <c r="C17" s="2" t="s">
        <v>98</v>
      </c>
      <c r="D17" s="2" t="s">
        <v>99</v>
      </c>
      <c r="E17" s="2" t="s">
        <v>105</v>
      </c>
      <c r="F17" s="2" t="s">
        <v>19</v>
      </c>
      <c r="G17" s="2" t="s">
        <v>31</v>
      </c>
      <c r="H17" s="2" t="s">
        <v>106</v>
      </c>
      <c r="I17" s="2" t="s">
        <v>107</v>
      </c>
      <c r="J17" s="2" t="s">
        <v>108</v>
      </c>
      <c r="K17" s="2"/>
      <c r="L17" s="2"/>
      <c r="M17" s="2"/>
      <c r="N17" s="2"/>
      <c r="O17" s="2"/>
    </row>
    <row r="18" customFormat="false" ht="23.85" hidden="false" customHeight="false" outlineLevel="0" collapsed="false">
      <c r="A18" s="2" t="s">
        <v>109</v>
      </c>
      <c r="B18" s="2" t="n">
        <v>1</v>
      </c>
      <c r="C18" s="2" t="s">
        <v>98</v>
      </c>
      <c r="D18" s="2" t="s">
        <v>99</v>
      </c>
      <c r="E18" s="2" t="s">
        <v>110</v>
      </c>
      <c r="F18" s="2" t="s">
        <v>19</v>
      </c>
      <c r="G18" s="2" t="s">
        <v>31</v>
      </c>
      <c r="H18" s="2" t="s">
        <v>111</v>
      </c>
      <c r="I18" s="2" t="s">
        <v>112</v>
      </c>
      <c r="J18" s="2" t="s">
        <v>113</v>
      </c>
      <c r="K18" s="2"/>
      <c r="L18" s="2"/>
      <c r="M18" s="2"/>
      <c r="N18" s="2"/>
      <c r="O18" s="2"/>
    </row>
    <row r="19" customFormat="false" ht="23.85" hidden="false" customHeight="false" outlineLevel="0" collapsed="false">
      <c r="A19" s="2" t="s">
        <v>114</v>
      </c>
      <c r="B19" s="2" t="n">
        <v>1</v>
      </c>
      <c r="C19" s="2" t="s">
        <v>98</v>
      </c>
      <c r="D19" s="2" t="s">
        <v>99</v>
      </c>
      <c r="E19" s="2" t="s">
        <v>115</v>
      </c>
      <c r="F19" s="2" t="s">
        <v>19</v>
      </c>
      <c r="G19" s="2" t="s">
        <v>20</v>
      </c>
      <c r="H19" s="2" t="s">
        <v>101</v>
      </c>
      <c r="I19" s="2" t="s">
        <v>116</v>
      </c>
      <c r="J19" s="2" t="s">
        <v>117</v>
      </c>
      <c r="K19" s="2"/>
      <c r="L19" s="2"/>
      <c r="M19" s="2"/>
      <c r="N19" s="2"/>
      <c r="O19" s="2"/>
    </row>
    <row r="20" customFormat="false" ht="23.85" hidden="false" customHeight="false" outlineLevel="0" collapsed="false">
      <c r="A20" s="2" t="s">
        <v>118</v>
      </c>
      <c r="B20" s="2" t="n">
        <v>1</v>
      </c>
      <c r="C20" s="2" t="s">
        <v>119</v>
      </c>
      <c r="D20" s="2" t="s">
        <v>120</v>
      </c>
      <c r="E20" s="2" t="s">
        <v>121</v>
      </c>
      <c r="F20" s="2" t="s">
        <v>19</v>
      </c>
      <c r="G20" s="2" t="s">
        <v>20</v>
      </c>
      <c r="H20" s="2" t="s">
        <v>122</v>
      </c>
      <c r="I20" s="2" t="s">
        <v>123</v>
      </c>
      <c r="J20" s="2" t="s">
        <v>124</v>
      </c>
      <c r="K20" s="2"/>
      <c r="L20" s="2"/>
      <c r="M20" s="2"/>
      <c r="N20" s="2"/>
      <c r="O20" s="2"/>
    </row>
    <row r="21" customFormat="false" ht="46.25" hidden="false" customHeight="false" outlineLevel="0" collapsed="false">
      <c r="A21" s="2" t="s">
        <v>125</v>
      </c>
      <c r="B21" s="2" t="n">
        <v>1</v>
      </c>
      <c r="C21" s="2" t="s">
        <v>126</v>
      </c>
      <c r="D21" s="2" t="s">
        <v>120</v>
      </c>
      <c r="E21" s="2" t="s">
        <v>127</v>
      </c>
      <c r="F21" s="2" t="s">
        <v>19</v>
      </c>
      <c r="G21" s="2" t="s">
        <v>20</v>
      </c>
      <c r="H21" s="2" t="s">
        <v>128</v>
      </c>
      <c r="I21" s="2" t="s">
        <v>129</v>
      </c>
      <c r="J21" s="2" t="s">
        <v>130</v>
      </c>
      <c r="K21" s="2"/>
      <c r="L21" s="2"/>
      <c r="M21" s="2"/>
      <c r="N21" s="2"/>
      <c r="O21" s="2"/>
    </row>
    <row r="22" customFormat="false" ht="23.85" hidden="false" customHeight="false" outlineLevel="0" collapsed="false">
      <c r="A22" s="2" t="s">
        <v>131</v>
      </c>
      <c r="B22" s="2" t="n">
        <v>1</v>
      </c>
      <c r="C22" s="2" t="s">
        <v>119</v>
      </c>
      <c r="D22" s="2" t="s">
        <v>120</v>
      </c>
      <c r="E22" s="2" t="s">
        <v>132</v>
      </c>
      <c r="F22" s="2" t="s">
        <v>19</v>
      </c>
      <c r="G22" s="2" t="s">
        <v>26</v>
      </c>
      <c r="H22" s="2" t="s">
        <v>133</v>
      </c>
      <c r="I22" s="2" t="s">
        <v>134</v>
      </c>
      <c r="J22" s="2" t="s">
        <v>135</v>
      </c>
      <c r="K22" s="2"/>
      <c r="L22" s="2"/>
      <c r="M22" s="2"/>
      <c r="N22" s="2"/>
      <c r="O22" s="2"/>
    </row>
    <row r="23" customFormat="false" ht="23.85" hidden="false" customHeight="false" outlineLevel="0" collapsed="false">
      <c r="A23" s="3" t="s">
        <v>136</v>
      </c>
      <c r="B23" s="3" t="n">
        <v>2</v>
      </c>
      <c r="C23" s="3" t="s">
        <v>137</v>
      </c>
      <c r="D23" s="3" t="s">
        <v>138</v>
      </c>
      <c r="E23" s="3" t="s">
        <v>139</v>
      </c>
      <c r="F23" s="3" t="s">
        <v>19</v>
      </c>
      <c r="G23" s="3" t="s">
        <v>20</v>
      </c>
      <c r="H23" s="3" t="s">
        <v>140</v>
      </c>
      <c r="I23" s="3" t="s">
        <v>141</v>
      </c>
      <c r="J23" s="3" t="s">
        <v>142</v>
      </c>
      <c r="K23" s="3"/>
      <c r="L23" s="3"/>
      <c r="M23" s="3"/>
      <c r="N23" s="3"/>
      <c r="O23" s="3"/>
    </row>
    <row r="24" customFormat="false" ht="23.85" hidden="false" customHeight="false" outlineLevel="0" collapsed="false">
      <c r="A24" s="3" t="s">
        <v>143</v>
      </c>
      <c r="B24" s="3" t="n">
        <v>2</v>
      </c>
      <c r="C24" s="3" t="s">
        <v>137</v>
      </c>
      <c r="D24" s="3" t="s">
        <v>138</v>
      </c>
      <c r="E24" s="3" t="s">
        <v>144</v>
      </c>
      <c r="F24" s="3" t="s">
        <v>19</v>
      </c>
      <c r="G24" s="3" t="s">
        <v>20</v>
      </c>
      <c r="H24" s="3" t="s">
        <v>145</v>
      </c>
      <c r="I24" s="3" t="s">
        <v>146</v>
      </c>
      <c r="J24" s="3" t="s">
        <v>147</v>
      </c>
      <c r="K24" s="3"/>
      <c r="L24" s="3"/>
      <c r="M24" s="3"/>
      <c r="N24" s="3"/>
      <c r="O24" s="3"/>
    </row>
    <row r="25" customFormat="false" ht="35.05" hidden="false" customHeight="false" outlineLevel="0" collapsed="false">
      <c r="A25" s="3" t="s">
        <v>148</v>
      </c>
      <c r="B25" s="3" t="n">
        <v>2</v>
      </c>
      <c r="C25" s="3" t="s">
        <v>137</v>
      </c>
      <c r="D25" s="3" t="s">
        <v>138</v>
      </c>
      <c r="E25" s="3" t="s">
        <v>149</v>
      </c>
      <c r="F25" s="3" t="s">
        <v>19</v>
      </c>
      <c r="G25" s="3" t="s">
        <v>20</v>
      </c>
      <c r="H25" s="3" t="s">
        <v>145</v>
      </c>
      <c r="I25" s="3" t="s">
        <v>150</v>
      </c>
      <c r="J25" s="3" t="s">
        <v>151</v>
      </c>
      <c r="K25" s="3"/>
      <c r="L25" s="3"/>
      <c r="M25" s="3"/>
      <c r="N25" s="3"/>
      <c r="O25" s="3"/>
    </row>
    <row r="26" customFormat="false" ht="23.85" hidden="false" customHeight="false" outlineLevel="0" collapsed="false">
      <c r="A26" s="3" t="s">
        <v>152</v>
      </c>
      <c r="B26" s="3" t="n">
        <v>2</v>
      </c>
      <c r="C26" s="3" t="s">
        <v>153</v>
      </c>
      <c r="D26" s="3" t="s">
        <v>154</v>
      </c>
      <c r="E26" s="3" t="s">
        <v>155</v>
      </c>
      <c r="F26" s="3" t="s">
        <v>19</v>
      </c>
      <c r="G26" s="3" t="s">
        <v>20</v>
      </c>
      <c r="H26" s="3" t="s">
        <v>156</v>
      </c>
      <c r="I26" s="3" t="s">
        <v>157</v>
      </c>
      <c r="J26" s="3" t="s">
        <v>158</v>
      </c>
      <c r="K26" s="3"/>
      <c r="L26" s="3"/>
      <c r="M26" s="3"/>
      <c r="N26" s="3"/>
      <c r="O26" s="3"/>
    </row>
    <row r="27" customFormat="false" ht="23.85" hidden="false" customHeight="false" outlineLevel="0" collapsed="false">
      <c r="A27" s="3" t="s">
        <v>159</v>
      </c>
      <c r="B27" s="3" t="n">
        <v>2</v>
      </c>
      <c r="C27" s="3" t="s">
        <v>153</v>
      </c>
      <c r="D27" s="3" t="s">
        <v>154</v>
      </c>
      <c r="E27" s="3" t="s">
        <v>160</v>
      </c>
      <c r="F27" s="3" t="s">
        <v>161</v>
      </c>
      <c r="G27" s="3" t="s">
        <v>26</v>
      </c>
      <c r="H27" s="3" t="s">
        <v>162</v>
      </c>
      <c r="I27" s="3" t="s">
        <v>163</v>
      </c>
      <c r="J27" s="3" t="s">
        <v>164</v>
      </c>
      <c r="K27" s="3"/>
      <c r="L27" s="3"/>
      <c r="M27" s="3"/>
      <c r="N27" s="3"/>
      <c r="O27" s="3"/>
    </row>
    <row r="28" customFormat="false" ht="35.05" hidden="false" customHeight="false" outlineLevel="0" collapsed="false">
      <c r="A28" s="3" t="s">
        <v>165</v>
      </c>
      <c r="B28" s="3" t="n">
        <v>2</v>
      </c>
      <c r="C28" s="3" t="s">
        <v>166</v>
      </c>
      <c r="D28" s="3" t="s">
        <v>154</v>
      </c>
      <c r="E28" s="3" t="s">
        <v>167</v>
      </c>
      <c r="F28" s="3" t="s">
        <v>19</v>
      </c>
      <c r="G28" s="3" t="s">
        <v>20</v>
      </c>
      <c r="H28" s="3" t="s">
        <v>168</v>
      </c>
      <c r="I28" s="3" t="s">
        <v>169</v>
      </c>
      <c r="J28" s="3" t="s">
        <v>170</v>
      </c>
      <c r="K28" s="3"/>
      <c r="L28" s="3"/>
      <c r="M28" s="3"/>
      <c r="N28" s="3"/>
      <c r="O28" s="3"/>
    </row>
    <row r="29" customFormat="false" ht="23.85" hidden="false" customHeight="false" outlineLevel="0" collapsed="false">
      <c r="A29" s="3" t="s">
        <v>171</v>
      </c>
      <c r="B29" s="3" t="n">
        <v>2</v>
      </c>
      <c r="C29" s="3" t="s">
        <v>166</v>
      </c>
      <c r="D29" s="3" t="s">
        <v>154</v>
      </c>
      <c r="E29" s="3" t="s">
        <v>172</v>
      </c>
      <c r="F29" s="3" t="s">
        <v>19</v>
      </c>
      <c r="G29" s="3" t="s">
        <v>20</v>
      </c>
      <c r="H29" s="3" t="s">
        <v>168</v>
      </c>
      <c r="I29" s="3" t="s">
        <v>173</v>
      </c>
      <c r="J29" s="3" t="s">
        <v>174</v>
      </c>
      <c r="K29" s="3"/>
      <c r="L29" s="3"/>
      <c r="M29" s="3"/>
      <c r="N29" s="3"/>
      <c r="O29" s="3"/>
    </row>
    <row r="30" customFormat="false" ht="23.85" hidden="false" customHeight="false" outlineLevel="0" collapsed="false">
      <c r="A30" s="3" t="s">
        <v>175</v>
      </c>
      <c r="B30" s="3" t="n">
        <v>2</v>
      </c>
      <c r="C30" s="3" t="s">
        <v>176</v>
      </c>
      <c r="D30" s="3" t="s">
        <v>177</v>
      </c>
      <c r="E30" s="3" t="s">
        <v>178</v>
      </c>
      <c r="F30" s="3" t="s">
        <v>19</v>
      </c>
      <c r="G30" s="3" t="s">
        <v>20</v>
      </c>
      <c r="H30" s="3" t="s">
        <v>179</v>
      </c>
      <c r="I30" s="3" t="s">
        <v>180</v>
      </c>
      <c r="J30" s="3" t="s">
        <v>181</v>
      </c>
      <c r="K30" s="3"/>
      <c r="L30" s="3"/>
      <c r="M30" s="3"/>
      <c r="N30" s="3"/>
      <c r="O30" s="3"/>
    </row>
    <row r="31" customFormat="false" ht="23.85" hidden="false" customHeight="false" outlineLevel="0" collapsed="false">
      <c r="A31" s="3" t="s">
        <v>182</v>
      </c>
      <c r="B31" s="3" t="n">
        <v>2</v>
      </c>
      <c r="C31" s="3" t="s">
        <v>176</v>
      </c>
      <c r="D31" s="3" t="s">
        <v>177</v>
      </c>
      <c r="E31" s="3" t="s">
        <v>183</v>
      </c>
      <c r="F31" s="3" t="s">
        <v>19</v>
      </c>
      <c r="G31" s="3" t="s">
        <v>20</v>
      </c>
      <c r="H31" s="3" t="s">
        <v>184</v>
      </c>
      <c r="I31" s="3" t="s">
        <v>185</v>
      </c>
      <c r="J31" s="3" t="s">
        <v>186</v>
      </c>
      <c r="K31" s="3"/>
      <c r="L31" s="3"/>
      <c r="M31" s="3"/>
      <c r="N31" s="3"/>
      <c r="O31" s="3"/>
    </row>
    <row r="32" customFormat="false" ht="23.85" hidden="false" customHeight="false" outlineLevel="0" collapsed="false">
      <c r="A32" s="3" t="s">
        <v>187</v>
      </c>
      <c r="B32" s="3" t="n">
        <v>2</v>
      </c>
      <c r="C32" s="3" t="s">
        <v>176</v>
      </c>
      <c r="D32" s="3" t="s">
        <v>177</v>
      </c>
      <c r="E32" s="3" t="s">
        <v>188</v>
      </c>
      <c r="F32" s="3" t="s">
        <v>19</v>
      </c>
      <c r="G32" s="3" t="s">
        <v>20</v>
      </c>
      <c r="H32" s="3" t="s">
        <v>184</v>
      </c>
      <c r="I32" s="3" t="s">
        <v>189</v>
      </c>
      <c r="J32" s="3" t="s">
        <v>190</v>
      </c>
      <c r="K32" s="3"/>
      <c r="L32" s="3"/>
      <c r="M32" s="3"/>
      <c r="N32" s="3"/>
      <c r="O32" s="3"/>
    </row>
    <row r="33" customFormat="false" ht="23.85" hidden="false" customHeight="false" outlineLevel="0" collapsed="false">
      <c r="A33" s="3" t="s">
        <v>191</v>
      </c>
      <c r="B33" s="3" t="n">
        <v>2</v>
      </c>
      <c r="C33" s="3" t="s">
        <v>192</v>
      </c>
      <c r="D33" s="3" t="s">
        <v>193</v>
      </c>
      <c r="E33" s="3" t="s">
        <v>194</v>
      </c>
      <c r="F33" s="3" t="s">
        <v>161</v>
      </c>
      <c r="G33" s="3" t="s">
        <v>20</v>
      </c>
      <c r="H33" s="3" t="s">
        <v>195</v>
      </c>
      <c r="I33" s="3" t="s">
        <v>196</v>
      </c>
      <c r="J33" s="3" t="s">
        <v>197</v>
      </c>
      <c r="K33" s="3"/>
      <c r="L33" s="3"/>
      <c r="M33" s="3"/>
      <c r="N33" s="3"/>
      <c r="O33" s="3"/>
    </row>
    <row r="34" customFormat="false" ht="23.85" hidden="false" customHeight="false" outlineLevel="0" collapsed="false">
      <c r="A34" s="3" t="s">
        <v>198</v>
      </c>
      <c r="B34" s="3" t="n">
        <v>2</v>
      </c>
      <c r="C34" s="3" t="s">
        <v>192</v>
      </c>
      <c r="D34" s="3" t="s">
        <v>193</v>
      </c>
      <c r="E34" s="3" t="s">
        <v>199</v>
      </c>
      <c r="F34" s="3" t="s">
        <v>161</v>
      </c>
      <c r="G34" s="3" t="s">
        <v>20</v>
      </c>
      <c r="H34" s="3" t="s">
        <v>200</v>
      </c>
      <c r="I34" s="3" t="s">
        <v>201</v>
      </c>
      <c r="J34" s="3" t="s">
        <v>202</v>
      </c>
      <c r="K34" s="3"/>
      <c r="L34" s="3"/>
      <c r="M34" s="3"/>
      <c r="N34" s="3"/>
      <c r="O34" s="3"/>
    </row>
    <row r="35" customFormat="false" ht="46.25" hidden="false" customHeight="false" outlineLevel="0" collapsed="false">
      <c r="A35" s="4" t="s">
        <v>203</v>
      </c>
      <c r="B35" s="4" t="n">
        <v>3</v>
      </c>
      <c r="C35" s="4" t="s">
        <v>204</v>
      </c>
      <c r="D35" s="4" t="s">
        <v>205</v>
      </c>
      <c r="E35" s="4" t="s">
        <v>206</v>
      </c>
      <c r="F35" s="4" t="s">
        <v>161</v>
      </c>
      <c r="G35" s="4" t="s">
        <v>20</v>
      </c>
      <c r="H35" s="4" t="s">
        <v>207</v>
      </c>
      <c r="I35" s="4" t="s">
        <v>208</v>
      </c>
      <c r="J35" s="4" t="s">
        <v>209</v>
      </c>
      <c r="K35" s="4"/>
      <c r="L35" s="4"/>
      <c r="M35" s="4"/>
      <c r="N35" s="4"/>
      <c r="O35" s="4"/>
    </row>
    <row r="36" customFormat="false" ht="23.85" hidden="false" customHeight="false" outlineLevel="0" collapsed="false">
      <c r="A36" s="4" t="s">
        <v>210</v>
      </c>
      <c r="B36" s="4" t="n">
        <v>3</v>
      </c>
      <c r="C36" s="4" t="s">
        <v>204</v>
      </c>
      <c r="D36" s="4" t="s">
        <v>205</v>
      </c>
      <c r="E36" s="4" t="s">
        <v>211</v>
      </c>
      <c r="F36" s="4" t="s">
        <v>161</v>
      </c>
      <c r="G36" s="4" t="s">
        <v>20</v>
      </c>
      <c r="H36" s="4" t="s">
        <v>212</v>
      </c>
      <c r="I36" s="4" t="s">
        <v>213</v>
      </c>
      <c r="J36" s="4" t="s">
        <v>214</v>
      </c>
      <c r="K36" s="4"/>
      <c r="L36" s="4"/>
      <c r="M36" s="4"/>
      <c r="N36" s="4"/>
      <c r="O36" s="4"/>
    </row>
    <row r="37" customFormat="false" ht="35.05" hidden="false" customHeight="false" outlineLevel="0" collapsed="false">
      <c r="A37" s="4" t="s">
        <v>215</v>
      </c>
      <c r="B37" s="4" t="n">
        <v>3</v>
      </c>
      <c r="C37" s="4" t="s">
        <v>204</v>
      </c>
      <c r="D37" s="4" t="s">
        <v>205</v>
      </c>
      <c r="E37" s="4" t="s">
        <v>216</v>
      </c>
      <c r="F37" s="4" t="s">
        <v>161</v>
      </c>
      <c r="G37" s="4" t="s">
        <v>31</v>
      </c>
      <c r="H37" s="4" t="s">
        <v>217</v>
      </c>
      <c r="I37" s="4" t="s">
        <v>218</v>
      </c>
      <c r="J37" s="4" t="s">
        <v>219</v>
      </c>
      <c r="K37" s="4"/>
      <c r="L37" s="4"/>
      <c r="M37" s="4"/>
      <c r="N37" s="4"/>
      <c r="O37" s="4"/>
    </row>
    <row r="38" customFormat="false" ht="23.85" hidden="false" customHeight="false" outlineLevel="0" collapsed="false">
      <c r="A38" s="4" t="s">
        <v>220</v>
      </c>
      <c r="B38" s="4" t="n">
        <v>3</v>
      </c>
      <c r="C38" s="4" t="s">
        <v>221</v>
      </c>
      <c r="D38" s="4" t="s">
        <v>193</v>
      </c>
      <c r="E38" s="4" t="s">
        <v>222</v>
      </c>
      <c r="F38" s="4" t="s">
        <v>161</v>
      </c>
      <c r="G38" s="4" t="s">
        <v>20</v>
      </c>
      <c r="H38" s="4" t="s">
        <v>223</v>
      </c>
      <c r="I38" s="4" t="s">
        <v>224</v>
      </c>
      <c r="J38" s="4" t="s">
        <v>225</v>
      </c>
      <c r="K38" s="4"/>
      <c r="L38" s="4"/>
      <c r="M38" s="4"/>
      <c r="N38" s="4"/>
      <c r="O38" s="4"/>
    </row>
    <row r="39" customFormat="false" ht="35.05" hidden="false" customHeight="false" outlineLevel="0" collapsed="false">
      <c r="A39" s="4" t="s">
        <v>226</v>
      </c>
      <c r="B39" s="4" t="n">
        <v>3</v>
      </c>
      <c r="C39" s="4" t="s">
        <v>221</v>
      </c>
      <c r="D39" s="4" t="s">
        <v>193</v>
      </c>
      <c r="E39" s="4" t="s">
        <v>227</v>
      </c>
      <c r="F39" s="4" t="s">
        <v>161</v>
      </c>
      <c r="G39" s="4" t="s">
        <v>20</v>
      </c>
      <c r="H39" s="4" t="s">
        <v>228</v>
      </c>
      <c r="I39" s="4" t="s">
        <v>224</v>
      </c>
      <c r="J39" s="4" t="s">
        <v>229</v>
      </c>
      <c r="K39" s="4"/>
      <c r="L39" s="4"/>
      <c r="M39" s="4"/>
      <c r="N39" s="4"/>
      <c r="O39" s="4"/>
    </row>
    <row r="40" customFormat="false" ht="23.85" hidden="false" customHeight="false" outlineLevel="0" collapsed="false">
      <c r="A40" s="4" t="s">
        <v>230</v>
      </c>
      <c r="B40" s="4" t="n">
        <v>3</v>
      </c>
      <c r="C40" s="4" t="s">
        <v>221</v>
      </c>
      <c r="D40" s="4" t="s">
        <v>193</v>
      </c>
      <c r="E40" s="4" t="s">
        <v>231</v>
      </c>
      <c r="F40" s="4" t="s">
        <v>161</v>
      </c>
      <c r="G40" s="4" t="s">
        <v>20</v>
      </c>
      <c r="H40" s="4" t="s">
        <v>232</v>
      </c>
      <c r="I40" s="4" t="s">
        <v>224</v>
      </c>
      <c r="J40" s="4" t="s">
        <v>233</v>
      </c>
      <c r="K40" s="4"/>
      <c r="L40" s="4"/>
      <c r="M40" s="4"/>
      <c r="N40" s="4"/>
      <c r="O40" s="4"/>
    </row>
    <row r="41" customFormat="false" ht="23.85" hidden="false" customHeight="false" outlineLevel="0" collapsed="false">
      <c r="A41" s="4" t="s">
        <v>234</v>
      </c>
      <c r="B41" s="4" t="n">
        <v>3</v>
      </c>
      <c r="C41" s="4" t="s">
        <v>235</v>
      </c>
      <c r="D41" s="4" t="s">
        <v>193</v>
      </c>
      <c r="E41" s="4" t="s">
        <v>236</v>
      </c>
      <c r="F41" s="4" t="s">
        <v>161</v>
      </c>
      <c r="G41" s="4" t="s">
        <v>20</v>
      </c>
      <c r="H41" s="4" t="s">
        <v>237</v>
      </c>
      <c r="I41" s="4" t="s">
        <v>238</v>
      </c>
      <c r="J41" s="4" t="s">
        <v>239</v>
      </c>
      <c r="K41" s="4"/>
      <c r="L41" s="4"/>
      <c r="M41" s="4"/>
      <c r="N41" s="4"/>
      <c r="O41" s="4"/>
    </row>
    <row r="42" customFormat="false" ht="35.05" hidden="false" customHeight="false" outlineLevel="0" collapsed="false">
      <c r="A42" s="4" t="s">
        <v>240</v>
      </c>
      <c r="B42" s="4" t="n">
        <v>3</v>
      </c>
      <c r="C42" s="4" t="s">
        <v>235</v>
      </c>
      <c r="D42" s="4" t="s">
        <v>193</v>
      </c>
      <c r="E42" s="4" t="s">
        <v>241</v>
      </c>
      <c r="F42" s="4" t="s">
        <v>161</v>
      </c>
      <c r="G42" s="4" t="s">
        <v>20</v>
      </c>
      <c r="H42" s="4" t="s">
        <v>242</v>
      </c>
      <c r="I42" s="4" t="s">
        <v>243</v>
      </c>
      <c r="J42" s="4" t="s">
        <v>244</v>
      </c>
      <c r="K42" s="4"/>
      <c r="L42" s="4"/>
      <c r="M42" s="4"/>
      <c r="N42" s="4"/>
      <c r="O42" s="4"/>
    </row>
    <row r="43" customFormat="false" ht="23.85" hidden="false" customHeight="false" outlineLevel="0" collapsed="false">
      <c r="A43" s="4" t="s">
        <v>245</v>
      </c>
      <c r="B43" s="4" t="n">
        <v>3</v>
      </c>
      <c r="C43" s="4" t="s">
        <v>235</v>
      </c>
      <c r="D43" s="4" t="s">
        <v>193</v>
      </c>
      <c r="E43" s="4" t="s">
        <v>246</v>
      </c>
      <c r="F43" s="4" t="s">
        <v>19</v>
      </c>
      <c r="G43" s="4" t="s">
        <v>20</v>
      </c>
      <c r="H43" s="4" t="s">
        <v>247</v>
      </c>
      <c r="I43" s="4" t="s">
        <v>248</v>
      </c>
      <c r="J43" s="4" t="s">
        <v>249</v>
      </c>
      <c r="K43" s="4"/>
      <c r="L43" s="4"/>
      <c r="M43" s="4"/>
      <c r="N43" s="4"/>
      <c r="O43" s="4"/>
    </row>
    <row r="44" customFormat="false" ht="35.05" hidden="false" customHeight="false" outlineLevel="0" collapsed="false">
      <c r="A44" s="4" t="s">
        <v>250</v>
      </c>
      <c r="B44" s="4" t="n">
        <v>3</v>
      </c>
      <c r="C44" s="4" t="s">
        <v>235</v>
      </c>
      <c r="D44" s="4" t="s">
        <v>193</v>
      </c>
      <c r="E44" s="4" t="s">
        <v>251</v>
      </c>
      <c r="F44" s="4" t="s">
        <v>19</v>
      </c>
      <c r="G44" s="4" t="s">
        <v>252</v>
      </c>
      <c r="H44" s="4" t="s">
        <v>253</v>
      </c>
      <c r="I44" s="4" t="s">
        <v>254</v>
      </c>
      <c r="J44" s="4" t="s">
        <v>255</v>
      </c>
      <c r="K44" s="4"/>
      <c r="L44" s="4"/>
      <c r="M44" s="4"/>
      <c r="N44" s="4"/>
      <c r="O44" s="4"/>
    </row>
    <row r="45" customFormat="false" ht="23.85" hidden="false" customHeight="false" outlineLevel="0" collapsed="false">
      <c r="A45" s="4" t="s">
        <v>256</v>
      </c>
      <c r="B45" s="4" t="n">
        <v>3</v>
      </c>
      <c r="C45" s="4" t="s">
        <v>257</v>
      </c>
      <c r="D45" s="4" t="s">
        <v>258</v>
      </c>
      <c r="E45" s="4" t="s">
        <v>259</v>
      </c>
      <c r="F45" s="4" t="s">
        <v>19</v>
      </c>
      <c r="G45" s="4" t="s">
        <v>20</v>
      </c>
      <c r="H45" s="4" t="s">
        <v>260</v>
      </c>
      <c r="I45" s="4" t="s">
        <v>261</v>
      </c>
      <c r="J45" s="4" t="s">
        <v>262</v>
      </c>
      <c r="K45" s="4"/>
      <c r="L45" s="4"/>
      <c r="M45" s="4"/>
      <c r="N45" s="4"/>
      <c r="O45" s="4"/>
    </row>
    <row r="46" customFormat="false" ht="23.85" hidden="false" customHeight="false" outlineLevel="0" collapsed="false">
      <c r="A46" s="4" t="s">
        <v>263</v>
      </c>
      <c r="B46" s="4" t="n">
        <v>3</v>
      </c>
      <c r="C46" s="4" t="s">
        <v>48</v>
      </c>
      <c r="D46" s="4" t="s">
        <v>17</v>
      </c>
      <c r="E46" s="4" t="s">
        <v>264</v>
      </c>
      <c r="F46" s="4" t="s">
        <v>19</v>
      </c>
      <c r="G46" s="4" t="s">
        <v>31</v>
      </c>
      <c r="H46" s="4" t="s">
        <v>265</v>
      </c>
      <c r="I46" s="4" t="s">
        <v>266</v>
      </c>
      <c r="J46" s="4" t="s">
        <v>267</v>
      </c>
      <c r="K46" s="4"/>
      <c r="L46" s="4"/>
      <c r="M46" s="4"/>
      <c r="N46" s="4"/>
      <c r="O46" s="4"/>
    </row>
    <row r="47" customFormat="false" ht="35.05" hidden="false" customHeight="false" outlineLevel="0" collapsed="false">
      <c r="A47" s="5" t="s">
        <v>268</v>
      </c>
      <c r="B47" s="5" t="n">
        <v>4</v>
      </c>
      <c r="C47" s="5" t="s">
        <v>269</v>
      </c>
      <c r="D47" s="5" t="s">
        <v>270</v>
      </c>
      <c r="E47" s="5" t="s">
        <v>271</v>
      </c>
      <c r="F47" s="5" t="s">
        <v>272</v>
      </c>
      <c r="G47" s="5" t="s">
        <v>20</v>
      </c>
      <c r="H47" s="5" t="s">
        <v>273</v>
      </c>
      <c r="I47" s="5" t="s">
        <v>274</v>
      </c>
      <c r="J47" s="5" t="s">
        <v>275</v>
      </c>
      <c r="K47" s="5"/>
      <c r="L47" s="5"/>
      <c r="M47" s="5"/>
      <c r="N47" s="5"/>
      <c r="O47" s="5"/>
    </row>
    <row r="48" customFormat="false" ht="23.85" hidden="false" customHeight="false" outlineLevel="0" collapsed="false">
      <c r="A48" s="5" t="s">
        <v>276</v>
      </c>
      <c r="B48" s="5" t="n">
        <v>4</v>
      </c>
      <c r="C48" s="5" t="s">
        <v>277</v>
      </c>
      <c r="D48" s="5" t="s">
        <v>270</v>
      </c>
      <c r="E48" s="5" t="s">
        <v>278</v>
      </c>
      <c r="F48" s="5" t="s">
        <v>272</v>
      </c>
      <c r="G48" s="5" t="s">
        <v>20</v>
      </c>
      <c r="H48" s="5" t="s">
        <v>279</v>
      </c>
      <c r="I48" s="5" t="s">
        <v>280</v>
      </c>
      <c r="J48" s="5" t="s">
        <v>281</v>
      </c>
      <c r="K48" s="5"/>
      <c r="L48" s="5"/>
      <c r="M48" s="5"/>
      <c r="N48" s="5"/>
      <c r="O48" s="5"/>
    </row>
    <row r="49" customFormat="false" ht="46.25" hidden="false" customHeight="false" outlineLevel="0" collapsed="false">
      <c r="A49" s="5" t="s">
        <v>282</v>
      </c>
      <c r="B49" s="5" t="n">
        <v>4</v>
      </c>
      <c r="C49" s="5" t="s">
        <v>283</v>
      </c>
      <c r="D49" s="5" t="s">
        <v>270</v>
      </c>
      <c r="E49" s="5" t="s">
        <v>284</v>
      </c>
      <c r="F49" s="5" t="s">
        <v>272</v>
      </c>
      <c r="G49" s="5" t="s">
        <v>285</v>
      </c>
      <c r="H49" s="5" t="s">
        <v>286</v>
      </c>
      <c r="I49" s="5" t="s">
        <v>287</v>
      </c>
      <c r="J49" s="5" t="s">
        <v>288</v>
      </c>
      <c r="K49" s="5"/>
      <c r="L49" s="5"/>
      <c r="M49" s="5"/>
      <c r="N49" s="5"/>
      <c r="O49" s="5"/>
    </row>
  </sheetData>
  <autoFilter ref="A1:O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6" t="s">
        <v>289</v>
      </c>
    </row>
    <row r="3" customFormat="false" ht="15" hidden="false" customHeight="false" outlineLevel="0" collapsed="false">
      <c r="A3" s="7" t="s">
        <v>290</v>
      </c>
      <c r="B3" s="8" t="n">
        <f aca="false">COUNTA('Test Cases'!A2:A49)</f>
        <v>48</v>
      </c>
    </row>
    <row r="4" customFormat="false" ht="15" hidden="false" customHeight="false" outlineLevel="0" collapsed="false">
      <c r="A4" s="7" t="s">
        <v>291</v>
      </c>
      <c r="B4" s="8" t="n">
        <f aca="false">COUNTIF('Test Cases'!B2:B49,1)</f>
        <v>21</v>
      </c>
    </row>
    <row r="5" customFormat="false" ht="15" hidden="false" customHeight="false" outlineLevel="0" collapsed="false">
      <c r="A5" s="7" t="s">
        <v>292</v>
      </c>
      <c r="B5" s="8" t="n">
        <f aca="false">COUNTIF('Test Cases'!B2:B49,2)</f>
        <v>12</v>
      </c>
    </row>
    <row r="6" customFormat="false" ht="15" hidden="false" customHeight="false" outlineLevel="0" collapsed="false">
      <c r="A6" s="7" t="s">
        <v>293</v>
      </c>
      <c r="B6" s="8" t="n">
        <f aca="false">COUNTIF('Test Cases'!B2:B49,3)</f>
        <v>12</v>
      </c>
    </row>
    <row r="7" customFormat="false" ht="15" hidden="false" customHeight="false" outlineLevel="0" collapsed="false">
      <c r="A7" s="7" t="s">
        <v>294</v>
      </c>
      <c r="B7" s="8" t="n">
        <f aca="false">COUNTIF('Test Cases'!B2:B49,4)</f>
        <v>3</v>
      </c>
    </row>
    <row r="8" customFormat="false" ht="15" hidden="false" customHeight="false" outlineLevel="0" collapsed="false">
      <c r="A8" s="7" t="s">
        <v>295</v>
      </c>
      <c r="B8" s="8" t="n">
        <f aca="false">COUNTIF('Test Cases'!F2:F49,"Must")</f>
        <v>34</v>
      </c>
    </row>
    <row r="9" customFormat="false" ht="15" hidden="false" customHeight="false" outlineLevel="0" collapsed="false">
      <c r="A9" s="7" t="s">
        <v>296</v>
      </c>
      <c r="B9" s="8" t="n">
        <f aca="false">COUNTIF('Test Cases'!F2:F49,"Should")</f>
        <v>11</v>
      </c>
    </row>
    <row r="10" customFormat="false" ht="15" hidden="false" customHeight="false" outlineLevel="0" collapsed="false">
      <c r="A10" s="7" t="s">
        <v>297</v>
      </c>
      <c r="B10" s="8" t="n">
        <f aca="false">COUNTIF('Test Cases'!F2:F49,"Could")</f>
        <v>3</v>
      </c>
    </row>
    <row r="11" customFormat="false" ht="15" hidden="false" customHeight="false" outlineLevel="0" collapsed="false">
      <c r="A11" s="7" t="s">
        <v>298</v>
      </c>
      <c r="B11" s="8" t="n">
        <f aca="false">COUNTIF('Test Cases'!K2:K49,"Pass")</f>
        <v>0</v>
      </c>
    </row>
    <row r="12" customFormat="false" ht="15" hidden="false" customHeight="false" outlineLevel="0" collapsed="false">
      <c r="A12" s="7" t="s">
        <v>299</v>
      </c>
      <c r="B12" s="8" t="n">
        <f aca="false">COUNTIF('Test Cases'!K2:K49,"Fail")</f>
        <v>0</v>
      </c>
    </row>
    <row r="13" customFormat="false" ht="15" hidden="false" customHeight="false" outlineLevel="0" collapsed="false">
      <c r="A13" s="7" t="s">
        <v>300</v>
      </c>
      <c r="B13" s="8" t="n">
        <f aca="false">COUNTIF('Test Cases'!K2:K49,"Not Run")</f>
        <v>0</v>
      </c>
    </row>
    <row r="15" customFormat="false" ht="15" hidden="false" customHeight="false" outlineLevel="0" collapsed="false">
      <c r="A15" s="9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2026-09-21T04:55:23Z</dcterms:created>
  <dc:creator>openpyxl</dc:creator>
  <dc:description/>
  <dc:language>en-US</dc:language>
  <cp:lastModifiedBy/>
  <dcterms:modified xsi:type="dcterms:W3CDTF">2026-09-21T04:55:23Z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